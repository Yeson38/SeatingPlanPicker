
<file path=[Content_Types].xml><?xml version="1.0" encoding="utf-8"?>
<Types xmlns="http://schemas.openxmlformats.org/package/2006/content-types">
  <Default Extension="xml" ContentType="application/xml"/>
  <Default Extension="png" ContentType="image/p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jdecontrols/jdecontrol1.xml" ContentType="application/vnd.wps-officedocument.jdeControl+xml"/>
  <Override PartName="/xl/jdecontrols/jdecontrol2.xml" ContentType="application/vnd.wps-officedocument.jdeControl+xml"/>
  <Override PartName="/xl/jdecontrols/jdecontrol3.xml" ContentType="application/vnd.wps-officedocument.jdeControl+xml"/>
  <Override PartName="/xl/jdecontrols/jdecontrol4.xml" ContentType="application/vnd.wps-officedocument.jdeControl+xml"/>
  <Override PartName="/xl/jdecontrols/jdecontrol5.xml" ContentType="application/vnd.wps-officedocument.jdeControl+xml"/>
  <Override PartName="/xl/jdecontrols/jdecontrol6.xml" ContentType="application/vnd.wps-officedocument.jdeControl+xml"/>
  <Override PartName="/xl/jdecontrols/jdecontrol7.xml" ContentType="application/vnd.wps-officedocument.jdeControl+xml"/>
  <Override PartName="/xl/jdecontrols/jdecontrol8.xml" ContentType="application/vnd.wps-officedocument.jdeControl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9868" windowHeight="14088" tabRatio="628" firstSheet="2"/>
  </bookViews>
  <sheets>
    <sheet name="座位调整" sheetId="8" r:id="rId1"/>
    <sheet name="数据填写" sheetId="9" r:id="rId2"/>
    <sheet name="简洁展示" sheetId="10" r:id="rId3"/>
    <sheet name="变量存储" sheetId="12" r:id="rId4"/>
  </sheets>
  <definedNames>
    <definedName name="_xlnm.Print_Area" localSheetId="0">座位调整!$A$1:$M$11</definedName>
    <definedName name="_xlnm._FilterDatabase" localSheetId="0" hidden="1">座位调整!$S$4:$Y$12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>
  <connection id="1" name="查询 - 摇号结果" description="与工作簿中“摇号结果”查询的连接。" type="5" background="1" refreshedVersion="2" saveData="1">
    <dbPr connection="Provider=Microsoft.Mashup.OleDb.1;Data Source=$Workbook$;Location=摇号结果;Extended Properties=&quot;&quot;" command="SELECT * FROM [摇号结果]" commandType="2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<sst xmlns="http://schemas.openxmlformats.org/spreadsheetml/2006/main" count="82" uniqueCount="70">
  <si>
    <t>填写区</t>
  </si>
  <si>
    <t>填学号</t>
  </si>
  <si>
    <t>字勿动</t>
  </si>
  <si>
    <t>前飞机</t>
  </si>
  <si>
    <t>后享福</t>
  </si>
  <si>
    <t>过道</t>
  </si>
  <si>
    <t>讲台</t>
  </si>
  <si>
    <t>您</t>
  </si>
  <si>
    <t>错误状态指示详细错误请前往姓名表</t>
  </si>
  <si>
    <t>抽取按钮先填飞机自行调整勿改格式</t>
  </si>
  <si>
    <t>排座按钮后填飞机如有空白再次使用</t>
  </si>
  <si>
    <t>固定座位输入座位手动填数按此按钮</t>
  </si>
  <si>
    <t>排座依据二者选一先初始化再行选择</t>
  </si>
  <si>
    <t>false</t>
  </si>
  <si>
    <t>学号</t>
  </si>
  <si>
    <t>姓名</t>
  </si>
  <si>
    <t>忽略座位</t>
  </si>
  <si>
    <t>固定座位</t>
  </si>
  <si>
    <t>排名</t>
  </si>
  <si>
    <t>成绩</t>
  </si>
  <si>
    <t>出现次数</t>
  </si>
  <si>
    <t>总人数</t>
  </si>
  <si>
    <t>菜狗</t>
  </si>
  <si>
    <t>座位纵列</t>
  </si>
  <si>
    <t>陈淘宝</t>
  </si>
  <si>
    <t>座位横行</t>
  </si>
  <si>
    <t>蔡承晴</t>
  </si>
  <si>
    <t>曹松昆</t>
  </si>
  <si>
    <t>T6</t>
  </si>
  <si>
    <t>陈景博</t>
  </si>
  <si>
    <t>陈平</t>
  </si>
  <si>
    <t>得抑制</t>
  </si>
  <si>
    <t>范凯</t>
  </si>
  <si>
    <t>傅眉达</t>
  </si>
  <si>
    <t>韩功雨</t>
  </si>
  <si>
    <t>侯婵环</t>
  </si>
  <si>
    <t>贾瑞庆</t>
  </si>
  <si>
    <t>级长</t>
  </si>
  <si>
    <t>廖信</t>
  </si>
  <si>
    <t>林水功</t>
  </si>
  <si>
    <t>陆爱</t>
  </si>
  <si>
    <t>毛会丽</t>
  </si>
  <si>
    <t>毛梦兰</t>
  </si>
  <si>
    <t>潘江东</t>
  </si>
  <si>
    <t>邱强博</t>
  </si>
  <si>
    <t>沈锦佳</t>
  </si>
  <si>
    <t>石道</t>
  </si>
  <si>
    <t>史珍香</t>
  </si>
  <si>
    <t>苏维埃</t>
  </si>
  <si>
    <t>孙慧蕊</t>
  </si>
  <si>
    <t>是</t>
  </si>
  <si>
    <t>谭磊松</t>
  </si>
  <si>
    <t>宁宁</t>
  </si>
  <si>
    <t>汤厚永</t>
  </si>
  <si>
    <t>汤琴英</t>
  </si>
  <si>
    <t>王露轩</t>
  </si>
  <si>
    <t>文琳达</t>
  </si>
  <si>
    <t>夏力</t>
  </si>
  <si>
    <t>夏树敏</t>
  </si>
  <si>
    <t>徐雨</t>
  </si>
  <si>
    <t>姚新娴</t>
  </si>
  <si>
    <t>叶峰双</t>
  </si>
  <si>
    <t>尹源敬</t>
  </si>
  <si>
    <t>于昌水</t>
  </si>
  <si>
    <t>开发者</t>
  </si>
  <si>
    <t>张乐军</t>
  </si>
  <si>
    <t>赵明云</t>
  </si>
  <si>
    <t>周娥天</t>
  </si>
  <si>
    <t>朱艺</t>
  </si>
  <si>
    <t>昼长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</si>
</sst>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0"/>
  </numFmts>
  <fonts count="29">
    <font>
      <sz val="11"/>
      <color theme="1"/>
      <name val="宋体"/>
      <charset val="134"/>
      <scheme val="minor"/>
    </font>
    <font>
      <sz val="11"/>
      <color theme="0"/>
      <name val="楷体"/>
      <charset val="134"/>
    </font>
    <font>
      <sz val="11"/>
      <color theme="0"/>
      <name val="DigitsDB"/>
      <charset val="134"/>
    </font>
    <font>
      <sz val="11"/>
      <color theme="0"/>
      <name val="华文楷体"/>
      <charset val="134"/>
    </font>
    <font>
      <sz val="16"/>
      <color theme="1"/>
      <name val="宋体"/>
      <charset val="134"/>
      <scheme val="minor"/>
    </font>
    <font>
      <b/>
      <sz val="11"/>
      <color theme="1"/>
      <name val="仿宋_GB2312"/>
      <charset val="134"/>
    </font>
    <font>
      <b/>
      <sz val="11"/>
      <color rgb="FF000000"/>
      <name val="仿宋_GB2312"/>
      <charset val="134"/>
    </font>
    <font>
      <b/>
      <sz val="10"/>
      <color theme="1"/>
      <name val="华文仿宋"/>
      <charset val="134"/>
    </font>
    <font>
      <b/>
      <sz val="28"/>
      <color theme="1"/>
      <name val="华文仿宋"/>
      <charset val="134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9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3" borderId="21" applyNumberFormat="0" applyFont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22" applyNumberFormat="0" applyFill="0" applyAlignment="0" applyProtection="0">
      <alignment vertical="center"/>
    </xf>
    <xf numFmtId="0" fontId="16" fillId="0" borderId="22" applyNumberFormat="0" applyFill="0" applyAlignment="0" applyProtection="0">
      <alignment vertical="center"/>
    </xf>
    <xf numFmtId="0" fontId="17" fillId="0" borderId="23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4" borderId="24" applyNumberFormat="0" applyAlignment="0" applyProtection="0">
      <alignment vertical="center"/>
    </xf>
    <xf numFmtId="0" fontId="19" fillId="5" borderId="25" applyNumberFormat="0" applyAlignment="0" applyProtection="0">
      <alignment vertical="center"/>
    </xf>
    <xf numFmtId="0" fontId="20" fillId="5" borderId="24" applyNumberFormat="0" applyAlignment="0" applyProtection="0">
      <alignment vertical="center"/>
    </xf>
    <xf numFmtId="0" fontId="21" fillId="6" borderId="26" applyNumberFormat="0" applyAlignment="0" applyProtection="0">
      <alignment vertical="center"/>
    </xf>
    <xf numFmtId="0" fontId="22" fillId="0" borderId="27" applyNumberFormat="0" applyFill="0" applyAlignment="0" applyProtection="0">
      <alignment vertical="center"/>
    </xf>
    <xf numFmtId="0" fontId="23" fillId="0" borderId="28" applyNumberFormat="0" applyFill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10" borderId="0" applyNumberFormat="0" applyBorder="0" applyAlignment="0" applyProtection="0">
      <alignment vertical="center"/>
    </xf>
    <xf numFmtId="0" fontId="28" fillId="11" borderId="0" applyNumberFormat="0" applyBorder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8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4" fillId="0" borderId="0" xfId="0" applyFont="1" applyFill="1" applyAlignment="1">
      <alignment horizontal="center" vertical="center" wrapText="1"/>
    </xf>
    <xf numFmtId="0" fontId="4" fillId="0" borderId="4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vertical="center" wrapText="1"/>
    </xf>
    <xf numFmtId="0" fontId="4" fillId="0" borderId="6" xfId="0" applyFont="1" applyFill="1" applyBorder="1" applyAlignment="1">
      <alignment vertical="center" wrapText="1"/>
    </xf>
    <xf numFmtId="0" fontId="4" fillId="0" borderId="6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0" fillId="0" borderId="8" xfId="0" applyFill="1" applyBorder="1" applyAlignment="1">
      <alignment vertical="center" wrapText="1"/>
    </xf>
    <xf numFmtId="176" fontId="6" fillId="0" borderId="9" xfId="0" applyNumberFormat="1" applyFont="1" applyFill="1" applyBorder="1" applyAlignment="1">
      <alignment horizontal="center" vertical="center" wrapText="1"/>
    </xf>
    <xf numFmtId="176" fontId="6" fillId="0" borderId="10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center" wrapText="1"/>
    </xf>
    <xf numFmtId="176" fontId="6" fillId="0" borderId="4" xfId="0" applyNumberFormat="1" applyFont="1" applyFill="1" applyBorder="1" applyAlignment="1">
      <alignment horizontal="center" vertical="center" wrapText="1"/>
    </xf>
    <xf numFmtId="176" fontId="6" fillId="0" borderId="0" xfId="0" applyNumberFormat="1" applyFont="1" applyFill="1" applyBorder="1" applyAlignment="1">
      <alignment horizontal="center" vertical="center" wrapText="1"/>
    </xf>
    <xf numFmtId="0" fontId="0" fillId="0" borderId="11" xfId="0" applyFill="1" applyBorder="1" applyAlignment="1">
      <alignment vertical="center" wrapText="1"/>
    </xf>
    <xf numFmtId="176" fontId="6" fillId="0" borderId="12" xfId="0" applyNumberFormat="1" applyFont="1" applyFill="1" applyBorder="1" applyAlignment="1">
      <alignment horizontal="center" vertical="center" wrapText="1"/>
    </xf>
    <xf numFmtId="176" fontId="6" fillId="0" borderId="13" xfId="0" applyNumberFormat="1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 wrapText="1"/>
    </xf>
    <xf numFmtId="0" fontId="8" fillId="0" borderId="15" xfId="0" applyFont="1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0" fontId="5" fillId="0" borderId="8" xfId="0" applyFont="1" applyFill="1" applyBorder="1" applyAlignment="1">
      <alignment horizontal="center" vertical="center" wrapText="1"/>
    </xf>
    <xf numFmtId="176" fontId="6" fillId="0" borderId="6" xfId="0" applyNumberFormat="1" applyFont="1" applyFill="1" applyBorder="1" applyAlignment="1">
      <alignment horizontal="center" vertical="center" wrapText="1"/>
    </xf>
    <xf numFmtId="0" fontId="0" fillId="0" borderId="15" xfId="0" applyFill="1" applyBorder="1" applyAlignment="1">
      <alignment vertical="center" wrapText="1"/>
    </xf>
    <xf numFmtId="0" fontId="0" fillId="0" borderId="14" xfId="0" applyFill="1" applyBorder="1" applyAlignment="1">
      <alignment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5" fillId="0" borderId="17" xfId="0" applyFont="1" applyFill="1" applyBorder="1" applyAlignment="1">
      <alignment horizontal="center" vertical="center" wrapText="1"/>
    </xf>
    <xf numFmtId="176" fontId="6" fillId="0" borderId="18" xfId="0" applyNumberFormat="1" applyFont="1" applyFill="1" applyBorder="1" applyAlignment="1">
      <alignment horizontal="center" vertical="center" wrapText="1"/>
    </xf>
    <xf numFmtId="176" fontId="6" fillId="0" borderId="1" xfId="0" applyNumberFormat="1" applyFont="1" applyFill="1" applyBorder="1" applyAlignment="1">
      <alignment horizontal="center" vertical="center" wrapText="1"/>
    </xf>
    <xf numFmtId="176" fontId="6" fillId="0" borderId="19" xfId="0" applyNumberFormat="1" applyFont="1" applyFill="1" applyBorder="1" applyAlignment="1">
      <alignment horizontal="center" vertical="center" wrapText="1"/>
    </xf>
    <xf numFmtId="176" fontId="6" fillId="0" borderId="20" xfId="0" applyNumberFormat="1" applyFont="1" applyFill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21">
    <dxf>
      <fill>
        <patternFill patternType="solid">
          <bgColor rgb="FF92D050"/>
        </patternFill>
      </fill>
    </dxf>
    <dxf>
      <fill>
        <patternFill patternType="solid">
          <bgColor rgb="FFFFC000"/>
        </patternFill>
      </fill>
    </dxf>
    <dxf>
      <fill>
        <patternFill patternType="none"/>
      </fill>
    </dxf>
    <dxf>
      <fill>
        <patternFill patternType="solid">
          <bgColor theme="9" tint="0.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PivotStylePreset2_Accent1" table="0" count="10" xr9:uid="{267968C8-6FFD-4C36-ACC1-9EA1FD1885CA}"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</tableStyles>
  <colors>
    <mruColors>
      <color rgb="00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eetMetadata" Target="metadata.xml"/><Relationship Id="rId8" Type="http://schemas.openxmlformats.org/officeDocument/2006/relationships/sharedStrings" Target="sharedStrings.xml"/><Relationship Id="rId7" Type="http://schemas.openxmlformats.org/officeDocument/2006/relationships/theme" Target="theme/theme1.xml"/><Relationship Id="rId6" Type="http://schemas.openxmlformats.org/officeDocument/2006/relationships/customXml" Target="../customXml/item1.xml"/><Relationship Id="rId5" Type="http://schemas.openxmlformats.org/officeDocument/2006/relationships/connections" Target="connections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openxmlformats.org/officeDocument/2006/relationships/styles" Target="styles.xml"/><Relationship Id="rId10" Type="http://www.wps.cn/officeDocument/2018/jdeExtension" Target="JDEData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9" Type="http://schemas.openxmlformats.org/officeDocument/2006/relationships/image" Target="../media/image5.png"/><Relationship Id="rId8" Type="http://www.wps.cn/officeDocument/2020/jdeControlExtension" Target="../jdecontrols/jdecontrol4.xml"/><Relationship Id="rId7" Type="http://schemas.openxmlformats.org/officeDocument/2006/relationships/image" Target="../media/image4.png"/><Relationship Id="rId6" Type="http://www.wps.cn/officeDocument/2020/jdeControlExtension" Target="../jdecontrols/jdecontrol3.xml"/><Relationship Id="rId5" Type="http://schemas.openxmlformats.org/officeDocument/2006/relationships/image" Target="../media/image3.png"/><Relationship Id="rId4" Type="http://www.wps.cn/officeDocument/2020/jdeControlExtension" Target="../jdecontrols/jdecontrol2.xml"/><Relationship Id="rId3" Type="http://schemas.openxmlformats.org/officeDocument/2006/relationships/image" Target="../media/image2.png"/><Relationship Id="rId2" Type="http://www.wps.cn/officeDocument/2020/jdeControlExtension" Target="../jdecontrols/jdecontrol1.xml"/><Relationship Id="rId16" Type="http://www.wps.cn/officeDocument/2020/jdeControlExtension" Target="../jdecontrols/jdecontrol8.xml"/><Relationship Id="rId15" Type="http://schemas.openxmlformats.org/officeDocument/2006/relationships/image" Target="../media/image8.png"/><Relationship Id="rId14" Type="http://www.wps.cn/officeDocument/2020/jdeControlExtension" Target="../jdecontrols/jdecontrol7.xml"/><Relationship Id="rId13" Type="http://schemas.openxmlformats.org/officeDocument/2006/relationships/image" Target="../media/image7.png"/><Relationship Id="rId12" Type="http://www.wps.cn/officeDocument/2020/jdeControlExtension" Target="../jdecontrols/jdecontrol6.xml"/><Relationship Id="rId11" Type="http://schemas.openxmlformats.org/officeDocument/2006/relationships/image" Target="../media/image6.png"/><Relationship Id="rId10" Type="http://www.wps.cn/officeDocument/2020/jdeControlExtension" Target="../jdecontrols/jdecontrol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30480</xdr:colOff>
      <xdr:row>13</xdr:row>
      <xdr:rowOff>22225</xdr:rowOff>
    </xdr:from>
    <xdr:to>
      <xdr:col>21</xdr:col>
      <xdr:colOff>602615</xdr:colOff>
      <xdr:row>13</xdr:row>
      <xdr:rowOff>1271905</xdr:rowOff>
    </xdr:to>
    <xdr:pic>
      <xdr:nvPicPr>
        <xdr:cNvPr id="2" name="抽取"/>
        <xdr:cNvPicPr/>
      </xdr:nvPicPr>
      <xdr:blipFill>
        <a:blip r:embed="rId1"/>
        <a:stretch>
          <a:fillRect/>
        </a:stretch>
      </xdr:blipFill>
      <xdr:spPr>
        <a:xfrm>
          <a:off x="14090650" y="3324225"/>
          <a:ext cx="572135" cy="124968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2"/>
        </a:extLst>
      </xdr:spPr>
    </xdr:pic>
    <xdr:clientData/>
  </xdr:twoCellAnchor>
  <xdr:twoCellAnchor editAs="oneCell">
    <xdr:from>
      <xdr:col>21</xdr:col>
      <xdr:colOff>17780</xdr:colOff>
      <xdr:row>14</xdr:row>
      <xdr:rowOff>33020</xdr:rowOff>
    </xdr:from>
    <xdr:to>
      <xdr:col>21</xdr:col>
      <xdr:colOff>591820</xdr:colOff>
      <xdr:row>14</xdr:row>
      <xdr:rowOff>661035</xdr:rowOff>
    </xdr:to>
    <xdr:pic>
      <xdr:nvPicPr>
        <xdr:cNvPr id="4" name="纵"/>
        <xdr:cNvPicPr/>
      </xdr:nvPicPr>
      <xdr:blipFill>
        <a:blip r:embed="rId3"/>
        <a:stretch>
          <a:fillRect/>
        </a:stretch>
      </xdr:blipFill>
      <xdr:spPr>
        <a:xfrm>
          <a:off x="14077950" y="4630420"/>
          <a:ext cx="574040" cy="62801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4"/>
        </a:extLst>
      </xdr:spPr>
    </xdr:pic>
    <xdr:clientData/>
  </xdr:twoCellAnchor>
  <xdr:twoCellAnchor editAs="oneCell">
    <xdr:from>
      <xdr:col>20</xdr:col>
      <xdr:colOff>24765</xdr:colOff>
      <xdr:row>14</xdr:row>
      <xdr:rowOff>24130</xdr:rowOff>
    </xdr:from>
    <xdr:to>
      <xdr:col>20</xdr:col>
      <xdr:colOff>596900</xdr:colOff>
      <xdr:row>14</xdr:row>
      <xdr:rowOff>1273810</xdr:rowOff>
    </xdr:to>
    <xdr:pic>
      <xdr:nvPicPr>
        <xdr:cNvPr id="6" name="轮换"/>
        <xdr:cNvPicPr/>
      </xdr:nvPicPr>
      <xdr:blipFill>
        <a:blip r:embed="rId5"/>
        <a:stretch>
          <a:fillRect/>
        </a:stretch>
      </xdr:blipFill>
      <xdr:spPr>
        <a:xfrm>
          <a:off x="13414375" y="4621530"/>
          <a:ext cx="572135" cy="124968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6"/>
        </a:extLst>
      </xdr:spPr>
    </xdr:pic>
    <xdr:clientData/>
  </xdr:twoCellAnchor>
  <xdr:twoCellAnchor editAs="oneCell">
    <xdr:from>
      <xdr:col>21</xdr:col>
      <xdr:colOff>13335</xdr:colOff>
      <xdr:row>14</xdr:row>
      <xdr:rowOff>626745</xdr:rowOff>
    </xdr:from>
    <xdr:to>
      <xdr:col>21</xdr:col>
      <xdr:colOff>583565</xdr:colOff>
      <xdr:row>14</xdr:row>
      <xdr:rowOff>1254760</xdr:rowOff>
    </xdr:to>
    <xdr:pic>
      <xdr:nvPicPr>
        <xdr:cNvPr id="7" name="横"/>
        <xdr:cNvPicPr/>
      </xdr:nvPicPr>
      <xdr:blipFill>
        <a:blip r:embed="rId7"/>
        <a:stretch>
          <a:fillRect/>
        </a:stretch>
      </xdr:blipFill>
      <xdr:spPr>
        <a:xfrm>
          <a:off x="14073505" y="5224145"/>
          <a:ext cx="570230" cy="62801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8"/>
        </a:extLst>
      </xdr:spPr>
    </xdr:pic>
    <xdr:clientData/>
  </xdr:twoCellAnchor>
  <xdr:twoCellAnchor editAs="oneCell">
    <xdr:from>
      <xdr:col>23</xdr:col>
      <xdr:colOff>19050</xdr:colOff>
      <xdr:row>14</xdr:row>
      <xdr:rowOff>36195</xdr:rowOff>
    </xdr:from>
    <xdr:to>
      <xdr:col>23</xdr:col>
      <xdr:colOff>589280</xdr:colOff>
      <xdr:row>14</xdr:row>
      <xdr:rowOff>640080</xdr:rowOff>
    </xdr:to>
    <xdr:pic>
      <xdr:nvPicPr>
        <xdr:cNvPr id="3" name="成绩"/>
        <xdr:cNvPicPr/>
      </xdr:nvPicPr>
      <xdr:blipFill>
        <a:blip r:embed="rId9"/>
        <a:stretch>
          <a:fillRect/>
        </a:stretch>
      </xdr:blipFill>
      <xdr:spPr>
        <a:xfrm>
          <a:off x="15420340" y="4633595"/>
          <a:ext cx="570230" cy="603885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10"/>
        </a:extLst>
      </xdr:spPr>
    </xdr:pic>
    <xdr:clientData/>
  </xdr:twoCellAnchor>
  <xdr:twoCellAnchor editAs="oneCell">
    <xdr:from>
      <xdr:col>23</xdr:col>
      <xdr:colOff>23495</xdr:colOff>
      <xdr:row>14</xdr:row>
      <xdr:rowOff>643255</xdr:rowOff>
    </xdr:from>
    <xdr:to>
      <xdr:col>23</xdr:col>
      <xdr:colOff>589915</xdr:colOff>
      <xdr:row>14</xdr:row>
      <xdr:rowOff>1251585</xdr:rowOff>
    </xdr:to>
    <xdr:pic>
      <xdr:nvPicPr>
        <xdr:cNvPr id="5" name="排名"/>
        <xdr:cNvPicPr/>
      </xdr:nvPicPr>
      <xdr:blipFill>
        <a:blip r:embed="rId11"/>
        <a:stretch>
          <a:fillRect/>
        </a:stretch>
      </xdr:blipFill>
      <xdr:spPr>
        <a:xfrm>
          <a:off x="15424785" y="5240655"/>
          <a:ext cx="566420" cy="60833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12"/>
        </a:extLst>
      </xdr:spPr>
    </xdr:pic>
    <xdr:clientData/>
  </xdr:twoCellAnchor>
  <xdr:twoCellAnchor editAs="oneCell">
    <xdr:from>
      <xdr:col>23</xdr:col>
      <xdr:colOff>22225</xdr:colOff>
      <xdr:row>13</xdr:row>
      <xdr:rowOff>20320</xdr:rowOff>
    </xdr:from>
    <xdr:to>
      <xdr:col>23</xdr:col>
      <xdr:colOff>607060</xdr:colOff>
      <xdr:row>13</xdr:row>
      <xdr:rowOff>1259840</xdr:rowOff>
    </xdr:to>
    <xdr:pic>
      <xdr:nvPicPr>
        <xdr:cNvPr id="8" name="排座"/>
        <xdr:cNvPicPr/>
      </xdr:nvPicPr>
      <xdr:blipFill>
        <a:blip r:embed="rId13"/>
        <a:stretch>
          <a:fillRect/>
        </a:stretch>
      </xdr:blipFill>
      <xdr:spPr>
        <a:xfrm>
          <a:off x="15423515" y="3322320"/>
          <a:ext cx="584835" cy="123952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14"/>
        </a:extLst>
      </xdr:spPr>
    </xdr:pic>
    <xdr:clientData/>
  </xdr:twoCellAnchor>
  <xdr:twoCellAnchor editAs="oneCell">
    <xdr:from>
      <xdr:col>19</xdr:col>
      <xdr:colOff>27940</xdr:colOff>
      <xdr:row>14</xdr:row>
      <xdr:rowOff>27305</xdr:rowOff>
    </xdr:from>
    <xdr:to>
      <xdr:col>19</xdr:col>
      <xdr:colOff>600075</xdr:colOff>
      <xdr:row>14</xdr:row>
      <xdr:rowOff>1276985</xdr:rowOff>
    </xdr:to>
    <xdr:pic>
      <xdr:nvPicPr>
        <xdr:cNvPr id="9" name="固定座位"/>
        <xdr:cNvPicPr/>
      </xdr:nvPicPr>
      <xdr:blipFill>
        <a:blip r:embed="rId15"/>
        <a:stretch>
          <a:fillRect/>
        </a:stretch>
      </xdr:blipFill>
      <xdr:spPr>
        <a:xfrm>
          <a:off x="12746990" y="4624705"/>
          <a:ext cx="572135" cy="1249680"/>
        </a:xfrm>
        <a:prstGeom prst="rect">
          <a:avLst/>
        </a:prstGeom>
        <a:extLst>
          <wpsjdecontrol:jdecontrolRef xmlns:wpsjdecontrol="http://www.wps.cn/officeDocument/2020/jdeControlExtension" xmlns:r="http://schemas.openxmlformats.org/officeDocument/2006/relationships" r:id="rId16"/>
        </a:extLst>
      </xdr:spPr>
    </xdr:pic>
    <xdr:clientData/>
  </xdr:twoCellAnchor>
</xdr:wsDr>
</file>

<file path=xl/jdecontrols/jdecontrol1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.抽.取</caption>
      <name>抽取</name>
      <back_color>4290822336</back_color>
      <fore_color>4278190080</fore_color>
      <visible>true</visible>
      <back_style>true</back_style>
    </property>
    <property type="geometry">
      <left>14090650</left>
      <top>3324225</top>
      <width>572135</width>
      <height>1249680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2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纵</caption>
      <name>纵</name>
      <back_color>4290822336</back_color>
      <fore_color>4278190080</fore_color>
      <visible>true</visible>
      <back_style>true</back_style>
    </property>
    <property type="geometry">
      <left>14077950</left>
      <top>4630420</top>
      <width>572135</width>
      <height>628015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3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.轮.换</caption>
      <name>轮换</name>
      <back_color>4290822336</back_color>
      <fore_color>4278190080</fore_color>
      <visible>true</visible>
      <back_style>true</back_style>
    </property>
    <property type="geometry">
      <left>13414375</left>
      <top>4621530</top>
      <width>572135</width>
      <height>1249680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4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横</caption>
      <name>横</name>
      <back_color>4290822336</back_color>
      <fore_color>4278190080</fore_color>
      <visible>true</visible>
      <back_style>true</back_style>
    </property>
    <property type="geometry">
      <left>14073505</left>
      <top>5224145</top>
      <width>570230</width>
      <height>628015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5.xml><?xml version="1.0" encoding="utf-8"?>
<wpsjdecontrol:jdecontrol xmlns:wpsjdecontrol="http://www.wps.cn/officeDocument/2020/jdeControlExtension">
  <control type="optionbutton">
    <property type="actions">
      <enabled>true</enabled>
      <word_wrap>true</word_wrap>
      <auto_size>false</auto_size>
      <accelerator/>
    </property>
    <property type="data">
      <control_source>座位调整!X15</control_source>
    </property>
    <property type="facade">
      <caption>成绩</caption>
      <name>成绩</name>
      <back_color>4294967295</back_color>
      <fore_color>4278190080</fore_color>
      <visible>true</visible>
      <back_style>true</back_style>
      <value>false</value>
    </property>
    <property type="geometry">
      <left>15420340</left>
      <top>4633595</top>
      <width>570230</width>
      <height>603885</height>
    </property>
    <property type="others">
      <group_name/>
    </property>
    <property type="font">
      <font>
        <family>华文仿宋</family>
        <pointsize>12</pointsize>
        <weight>50</weight>
        <italic>false</italic>
        <underline>false</underline>
        <strickout>false</strickout>
      </font>
    </property>
  </control>
</wpsjdecontrol:jdecontrol>
</file>

<file path=xl/jdecontrols/jdecontrol6.xml><?xml version="1.0" encoding="utf-8"?>
<wpsjdecontrol:jdecontrol xmlns:wpsjdecontrol="http://www.wps.cn/officeDocument/2020/jdeControlExtension">
  <control type="optionbutton">
    <property type="actions">
      <enabled>true</enabled>
      <word_wrap>true</word_wrap>
      <auto_size>false</auto_size>
      <accelerator/>
    </property>
    <property type="data">
      <control_source/>
    </property>
    <property type="facade">
      <caption>排名</caption>
      <name>排名</name>
      <back_color>4294967295</back_color>
      <fore_color>4278190080</fore_color>
      <visible>true</visible>
      <back_style>true</back_style>
      <value>true</value>
    </property>
    <property type="geometry">
      <left>15424785</left>
      <top>5240655</top>
      <width>564515</width>
      <height>608330</height>
    </property>
    <property type="others">
      <group_name/>
    </property>
    <property type="font">
      <font>
        <family>华文仿宋</family>
        <pointsize>12</pointsize>
        <weight>50</weight>
        <italic>false</italic>
        <underline>false</underline>
        <strickout>false</strickout>
      </font>
    </property>
  </control>
</wpsjdecontrol:jdecontrol>
</file>

<file path=xl/jdecontrols/jdecontrol7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.排.座</caption>
      <name>排座</name>
      <back_color>4292401368</back_color>
      <fore_color>4278190080</fore_color>
      <visible>true</visible>
      <back_style>true</back_style>
    </property>
    <property type="geometry">
      <left>15423515</left>
      <top>3322320</top>
      <width>584835</width>
      <height>1239520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jdecontrols/jdecontrol8.xml><?xml version="1.0" encoding="utf-8"?>
<wpsjdecontrol:jdecontrol xmlns:wpsjdecontrol="http://www.wps.cn/officeDocument/2020/jdeControlExtension">
  <control type="commandbutton">
    <property type="actions">
      <enabled>true</enabled>
      <word_wrap>true</word_wrap>
      <auto_size>false</auto_size>
      <accelerator/>
    </property>
    <property type="facade">
      <caption>.定.座</caption>
      <name>固定座位</name>
      <back_color>4290822336</back_color>
      <fore_color>4278190080</fore_color>
      <visible>true</visible>
      <back_style>true</back_style>
    </property>
    <property type="geometry">
      <left>12746990</left>
      <top>4624705</top>
      <width>572135</width>
      <height>1249680</height>
    </property>
    <property type="font">
      <font>
        <family>华文仿宋</family>
        <pointsize>28</pointsize>
        <weight>50</weight>
        <italic>false</italic>
        <underline>false</underline>
        <strickout>false</strickout>
      </font>
    </property>
  </control>
</wpsjdecontrol:jdecontrol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A15"/>
  <sheetViews>
    <sheetView tabSelected="1" zoomScale="85" zoomScaleNormal="85" workbookViewId="0">
      <selection activeCell="E26" sqref="E26"/>
    </sheetView>
  </sheetViews>
  <sheetFormatPr defaultColWidth="9" defaultRowHeight="14.4"/>
  <cols>
    <col min="1" max="1" width="13.2222222222222" style="16" customWidth="1"/>
    <col min="2" max="2" width="4.66666666666667" style="16" customWidth="1"/>
    <col min="3" max="3" width="14.1111111111111" style="16" customWidth="1"/>
    <col min="4" max="4" width="4.53703703703704" style="16" customWidth="1"/>
    <col min="5" max="5" width="13.7777777777778" style="16" customWidth="1"/>
    <col min="6" max="6" width="4.88888888888889" style="16" customWidth="1"/>
    <col min="7" max="7" width="14.6666666666667" style="16" customWidth="1"/>
    <col min="8" max="8" width="5.12037037037037" style="16" customWidth="1"/>
    <col min="9" max="9" width="13.7777777777778" style="16" customWidth="1"/>
    <col min="10" max="10" width="5" style="16" customWidth="1"/>
    <col min="11" max="11" width="14.1111111111111" style="16" customWidth="1"/>
    <col min="12" max="12" width="5.31481481481481" style="16" customWidth="1"/>
    <col min="13" max="13" width="13.7777777777778" style="16" customWidth="1"/>
    <col min="14" max="14" width="5.02777777777778" style="16" customWidth="1"/>
    <col min="15" max="15" width="15.0740740740741" style="16" customWidth="1"/>
    <col min="16" max="16" width="4.92592592592593" style="16" customWidth="1"/>
    <col min="17" max="17" width="14.6851851851852" style="16" customWidth="1"/>
    <col min="18" max="18" width="9" style="16"/>
    <col min="19" max="27" width="9.77777777777778" style="16" customWidth="1"/>
    <col min="28" max="16384" width="9" style="16"/>
  </cols>
  <sheetData>
    <row r="1" ht="20" customHeight="1" spans="1:27">
      <c r="A1" s="17" t="str">
        <f>_xlfn.IFNA(S2&amp;VLOOKUP(S2,数据填写!$A:$B,2,0),"")&amp;"      "&amp;_xlfn.IFNA(T2&amp;VLOOKUP(T2,数据填写!$A:$B,2,0),"")&amp;"      "&amp;_xlfn.IFNA(U2&amp;VLOOKUP(U2,数据填写!$A:$B,2,0),"")&amp;"      "&amp;_xlfn.IFNA(V2&amp;VLOOKUP(V2,数据填写!$A:$B,2,0),"")&amp;"      "&amp;_xlfn.IFNA(W2&amp;VLOOKUP(W2,数据填写!$A:$B,2,0),"")&amp;"      "&amp;_xlfn.IFNA(X2&amp;VLOOKUP(X2,数据填写!$A:$B,2,0),"")&amp;"      "&amp;_xlfn.IFNA(Y2&amp;VLOOKUP(Y2,数据填写!$A:$B,2,0),"")&amp;"      "&amp;_xlfn.IFNA(Z2&amp;VLOOKUP(Z2,数据填写!$A:$B,2,0),"")&amp;"      "&amp;_xlfn.IFNA(AA2&amp;VLOOKUP(AA2,数据填写!$A:$B,2,0),"")</f>
        <v>                                                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23"/>
      <c r="S1" s="24"/>
      <c r="T1" s="25"/>
      <c r="U1" s="37" t="s">
        <v>0</v>
      </c>
      <c r="V1" s="37" t="s">
        <v>1</v>
      </c>
      <c r="W1" s="37" t="s">
        <v>2</v>
      </c>
      <c r="X1" s="37" t="s">
        <v>3</v>
      </c>
      <c r="Y1" s="37" t="s">
        <v>4</v>
      </c>
      <c r="Z1" s="41"/>
      <c r="AA1" s="42"/>
    </row>
    <row r="2" ht="20" customHeight="1" spans="1:27">
      <c r="A2" s="18" t="s">
        <v>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23"/>
      <c r="S2" s="26"/>
      <c r="T2" s="27"/>
      <c r="U2" s="27"/>
      <c r="V2" s="27"/>
      <c r="W2" s="27"/>
      <c r="X2" s="27"/>
      <c r="Y2" s="27"/>
      <c r="Z2" s="27"/>
      <c r="AA2" s="43"/>
    </row>
    <row r="3" ht="20" customHeight="1" spans="1:27">
      <c r="A3" s="18" t="str" cm="1">
        <f t="array" ref="A3:A11">_xlfn.IFNA(S3:S11&amp;VLOOKUP(S3:S11,数据填写!$A:$B,2,0),"")</f>
        <v/>
      </c>
      <c r="B3" s="17" t="s">
        <v>5</v>
      </c>
      <c r="C3" s="19" t="str" cm="1">
        <f t="array" ref="C3:C11">_xlfn.IFNA(T3:T11&amp;VLOOKUP(T3:T11,数据填写!$A:$B,2,0),"")</f>
        <v/>
      </c>
      <c r="D3" s="17" t="s">
        <v>5</v>
      </c>
      <c r="E3" s="19" t="str" cm="1">
        <f t="array" ref="E3:E11">_xlfn.IFNA(U3:U11&amp;VLOOKUP(U3:U11,数据填写!$A:$B,2,0),"")</f>
        <v/>
      </c>
      <c r="F3" s="17" t="s">
        <v>5</v>
      </c>
      <c r="G3" s="19" t="str" cm="1">
        <f t="array" ref="G3:G11">_xlfn.IFNA(V3:V11&amp;VLOOKUP(V3:V11,数据填写!$A:$B,2,0),"")</f>
        <v/>
      </c>
      <c r="H3" s="17" t="s">
        <v>5</v>
      </c>
      <c r="I3" s="19" t="str" cm="1">
        <f t="array" ref="I3:I11">_xlfn.IFNA(W3:W11&amp;VLOOKUP(W3:W11,数据填写!$A:$B,2,0),"")</f>
        <v/>
      </c>
      <c r="J3" s="17" t="s">
        <v>5</v>
      </c>
      <c r="K3" s="19" t="str" cm="1">
        <f t="array" ref="K3:K11">_xlfn.IFNA(X3:X11&amp;VLOOKUP(X3:X11,数据填写!$A:$B,2,0),"")</f>
        <v/>
      </c>
      <c r="L3" s="17" t="s">
        <v>5</v>
      </c>
      <c r="M3" s="19" t="str" cm="1">
        <f t="array" ref="M3:M11">_xlfn.IFNA(Y3:Y11&amp;VLOOKUP(Y3:Y11,数据填写!$A:$B,2,0),"")</f>
        <v/>
      </c>
      <c r="N3" s="17" t="s">
        <v>5</v>
      </c>
      <c r="O3" s="19" t="str" cm="1">
        <f t="array" ref="O3:O11">_xlfn.IFNA(Z3:Z11&amp;VLOOKUP(Z3:Z11,数据填写!$A:$B,2,0),"")</f>
        <v/>
      </c>
      <c r="P3" s="17" t="s">
        <v>5</v>
      </c>
      <c r="Q3" s="28" t="str" cm="1">
        <f t="array" ref="Q3:Q11">_xlfn.IFNA(AA3:AA11&amp;VLOOKUP(AA3:AA11,数据填写!$A:$B,2,0),"")</f>
        <v/>
      </c>
      <c r="S3" s="29"/>
      <c r="T3" s="30"/>
      <c r="U3" s="30"/>
      <c r="V3" s="30"/>
      <c r="W3" s="30"/>
      <c r="X3" s="30"/>
      <c r="Y3" s="30"/>
      <c r="Z3" s="30"/>
      <c r="AA3" s="44"/>
    </row>
    <row r="4" ht="20" customHeight="1" spans="1:27">
      <c r="A4" s="18" t="str">
        <v/>
      </c>
      <c r="B4" s="17"/>
      <c r="C4" s="19" t="str">
        <v/>
      </c>
      <c r="D4" s="17"/>
      <c r="E4" s="19" t="str">
        <v/>
      </c>
      <c r="F4" s="17"/>
      <c r="G4" s="19" t="str">
        <v/>
      </c>
      <c r="H4" s="17"/>
      <c r="I4" s="19" t="str">
        <v/>
      </c>
      <c r="J4" s="17"/>
      <c r="K4" s="19" t="str">
        <v/>
      </c>
      <c r="L4" s="17"/>
      <c r="M4" s="19" t="str">
        <v/>
      </c>
      <c r="N4" s="17"/>
      <c r="O4" s="19" t="str">
        <v/>
      </c>
      <c r="P4" s="17"/>
      <c r="Q4" s="28" t="str">
        <v/>
      </c>
      <c r="S4" s="29"/>
      <c r="T4" s="30"/>
      <c r="U4" s="30"/>
      <c r="V4" s="30"/>
      <c r="W4" s="30"/>
      <c r="X4" s="30"/>
      <c r="Y4" s="30"/>
      <c r="Z4" s="30"/>
      <c r="AA4" s="44"/>
    </row>
    <row r="5" ht="20" customHeight="1" spans="1:27">
      <c r="A5" s="18" t="str">
        <v/>
      </c>
      <c r="B5" s="17"/>
      <c r="C5" s="19" t="str">
        <v/>
      </c>
      <c r="D5" s="17"/>
      <c r="E5" s="19" t="str">
        <v/>
      </c>
      <c r="F5" s="17"/>
      <c r="G5" s="19" t="str">
        <v/>
      </c>
      <c r="H5" s="17"/>
      <c r="I5" s="19" t="str">
        <v/>
      </c>
      <c r="J5" s="17"/>
      <c r="K5" s="19" t="str">
        <v/>
      </c>
      <c r="L5" s="17"/>
      <c r="M5" s="19" t="str">
        <v/>
      </c>
      <c r="N5" s="17"/>
      <c r="O5" s="19" t="str">
        <v/>
      </c>
      <c r="P5" s="17"/>
      <c r="Q5" s="23" t="str">
        <v/>
      </c>
      <c r="S5" s="29"/>
      <c r="T5" s="30"/>
      <c r="U5" s="30"/>
      <c r="V5" s="30"/>
      <c r="W5" s="30"/>
      <c r="X5" s="30"/>
      <c r="Y5" s="30"/>
      <c r="Z5" s="30"/>
      <c r="AA5" s="44"/>
    </row>
    <row r="6" ht="20" customHeight="1" spans="1:27">
      <c r="A6" s="18" t="str">
        <v/>
      </c>
      <c r="B6" s="17"/>
      <c r="C6" s="19" t="str">
        <v>4曹松昆</v>
      </c>
      <c r="D6" s="17"/>
      <c r="E6" s="19" t="str">
        <v>11侯婵环</v>
      </c>
      <c r="F6" s="17"/>
      <c r="G6" s="19" t="str">
        <v>22石道</v>
      </c>
      <c r="H6" s="17"/>
      <c r="I6" s="19" t="str">
        <v>42周娥天</v>
      </c>
      <c r="J6" s="17"/>
      <c r="K6" s="19" t="str">
        <v>16陆爱</v>
      </c>
      <c r="L6" s="17"/>
      <c r="M6" s="19" t="str">
        <v>15林水功</v>
      </c>
      <c r="N6" s="17"/>
      <c r="O6" s="19" t="str">
        <v>6陈平</v>
      </c>
      <c r="P6" s="17"/>
      <c r="Q6" s="23" t="str">
        <v/>
      </c>
      <c r="S6" s="29"/>
      <c r="T6" s="30">
        <v>4</v>
      </c>
      <c r="U6" s="30">
        <v>11</v>
      </c>
      <c r="V6" s="30">
        <v>22</v>
      </c>
      <c r="W6" s="30">
        <v>42</v>
      </c>
      <c r="X6" s="30">
        <v>16</v>
      </c>
      <c r="Y6" s="30">
        <v>15</v>
      </c>
      <c r="Z6" s="30">
        <v>6</v>
      </c>
      <c r="AA6" s="44"/>
    </row>
    <row r="7" ht="20" customHeight="1" spans="1:27">
      <c r="A7" s="18" t="str">
        <v/>
      </c>
      <c r="B7" s="17"/>
      <c r="C7" s="19" t="str">
        <v>37尹源敬</v>
      </c>
      <c r="D7" s="17"/>
      <c r="E7" s="19" t="str">
        <v>38于昌水</v>
      </c>
      <c r="F7" s="17"/>
      <c r="G7" s="19" t="str">
        <v>28汤厚永</v>
      </c>
      <c r="H7" s="17"/>
      <c r="I7" s="19" t="str">
        <v>27宁宁</v>
      </c>
      <c r="J7" s="17"/>
      <c r="K7" s="19" t="str">
        <v>19潘江东</v>
      </c>
      <c r="L7" s="17"/>
      <c r="M7" s="19" t="str">
        <v>5陈景博</v>
      </c>
      <c r="N7" s="17"/>
      <c r="O7" s="19" t="str">
        <v>24苏维埃</v>
      </c>
      <c r="P7" s="17"/>
      <c r="Q7" s="23" t="str">
        <v/>
      </c>
      <c r="S7" s="29"/>
      <c r="T7" s="30">
        <v>37</v>
      </c>
      <c r="U7" s="30">
        <v>38</v>
      </c>
      <c r="V7" s="30">
        <v>28</v>
      </c>
      <c r="W7" s="30">
        <v>27</v>
      </c>
      <c r="X7" s="30">
        <v>19</v>
      </c>
      <c r="Y7" s="30">
        <v>5</v>
      </c>
      <c r="Z7" s="30">
        <v>24</v>
      </c>
      <c r="AA7" s="44"/>
    </row>
    <row r="8" ht="20" customHeight="1" spans="1:27">
      <c r="A8" s="18" t="str">
        <v/>
      </c>
      <c r="B8" s="17"/>
      <c r="C8" s="19" t="str">
        <v>2陈淘宝</v>
      </c>
      <c r="D8" s="17"/>
      <c r="E8" s="19" t="str">
        <v>30王露轩</v>
      </c>
      <c r="F8" s="17"/>
      <c r="G8" s="19" t="str">
        <v>26谭磊松</v>
      </c>
      <c r="H8" s="17"/>
      <c r="I8" s="19" t="str">
        <v>3蔡承晴</v>
      </c>
      <c r="J8" s="17"/>
      <c r="K8" s="19" t="str">
        <v>13级长</v>
      </c>
      <c r="L8" s="17"/>
      <c r="M8" s="19" t="str">
        <v>34徐雨</v>
      </c>
      <c r="N8" s="17"/>
      <c r="O8" s="19" t="str">
        <v>33夏树敏</v>
      </c>
      <c r="P8" s="17"/>
      <c r="Q8" s="23" t="str">
        <v/>
      </c>
      <c r="S8" s="29"/>
      <c r="T8" s="30">
        <v>2</v>
      </c>
      <c r="U8" s="30">
        <v>30</v>
      </c>
      <c r="V8" s="30">
        <v>26</v>
      </c>
      <c r="W8" s="30">
        <v>3</v>
      </c>
      <c r="X8" s="30">
        <v>13</v>
      </c>
      <c r="Y8" s="30">
        <v>34</v>
      </c>
      <c r="Z8" s="30">
        <v>33</v>
      </c>
      <c r="AA8" s="44"/>
    </row>
    <row r="9" ht="20" customHeight="1" spans="1:27">
      <c r="A9" s="18" t="str">
        <v/>
      </c>
      <c r="B9" s="17"/>
      <c r="C9" s="19" t="str">
        <v>35姚新娴</v>
      </c>
      <c r="D9" s="17"/>
      <c r="E9" s="19" t="str">
        <v>12贾瑞庆</v>
      </c>
      <c r="F9" s="17"/>
      <c r="G9" s="19" t="str">
        <v>36叶峰双</v>
      </c>
      <c r="H9" s="17"/>
      <c r="I9" s="19" t="str">
        <v>21沈锦佳</v>
      </c>
      <c r="J9" s="17"/>
      <c r="K9" s="19" t="str">
        <v>7得抑制</v>
      </c>
      <c r="L9" s="17"/>
      <c r="M9" s="19" t="str">
        <v>18毛梦兰</v>
      </c>
      <c r="N9" s="17"/>
      <c r="O9" s="19" t="str">
        <v>14廖信</v>
      </c>
      <c r="P9" s="17"/>
      <c r="Q9" s="23" t="str">
        <v/>
      </c>
      <c r="S9" s="29"/>
      <c r="T9" s="30">
        <v>35</v>
      </c>
      <c r="U9" s="30">
        <v>12</v>
      </c>
      <c r="V9" s="30">
        <v>36</v>
      </c>
      <c r="W9" s="30">
        <v>21</v>
      </c>
      <c r="X9" s="30">
        <v>7</v>
      </c>
      <c r="Y9" s="30">
        <v>18</v>
      </c>
      <c r="Z9" s="30">
        <v>14</v>
      </c>
      <c r="AA9" s="44"/>
    </row>
    <row r="10" ht="20" customHeight="1" spans="1:27">
      <c r="A10" s="18" t="str">
        <v/>
      </c>
      <c r="B10" s="17"/>
      <c r="C10" s="19" t="str">
        <v>1菜狗</v>
      </c>
      <c r="D10" s="17"/>
      <c r="E10" s="19" t="str">
        <v>31文琳达</v>
      </c>
      <c r="F10" s="17"/>
      <c r="G10" s="19" t="str">
        <v>20邱强博</v>
      </c>
      <c r="H10" s="17"/>
      <c r="I10" s="19" t="str">
        <v>23史珍香</v>
      </c>
      <c r="J10" s="17"/>
      <c r="K10" s="19" t="str">
        <v>40张乐军</v>
      </c>
      <c r="L10" s="17"/>
      <c r="M10" s="19" t="str">
        <v>17毛会丽</v>
      </c>
      <c r="N10" s="17"/>
      <c r="O10" s="19" t="str">
        <v>41赵明云</v>
      </c>
      <c r="P10" s="17"/>
      <c r="Q10" s="23" t="str">
        <v/>
      </c>
      <c r="S10" s="29"/>
      <c r="T10" s="30">
        <v>1</v>
      </c>
      <c r="U10" s="30">
        <v>31</v>
      </c>
      <c r="V10" s="30">
        <v>20</v>
      </c>
      <c r="W10" s="30">
        <v>23</v>
      </c>
      <c r="X10" s="30">
        <v>40</v>
      </c>
      <c r="Y10" s="30">
        <v>17</v>
      </c>
      <c r="Z10" s="30">
        <v>41</v>
      </c>
      <c r="AA10" s="44"/>
    </row>
    <row r="11" ht="20" customHeight="1" spans="1:27">
      <c r="A11" s="18" t="str">
        <v/>
      </c>
      <c r="B11" s="17"/>
      <c r="C11" s="19" t="str">
        <v>9傅眉达</v>
      </c>
      <c r="D11" s="17"/>
      <c r="E11" s="19" t="str">
        <v>43朱艺</v>
      </c>
      <c r="F11" s="17"/>
      <c r="G11" s="19" t="str">
        <v>39开发者</v>
      </c>
      <c r="H11" s="17"/>
      <c r="I11" s="19" t="str">
        <v>44昼长</v>
      </c>
      <c r="J11" s="17"/>
      <c r="K11" s="19" t="str">
        <v>10韩功雨</v>
      </c>
      <c r="L11" s="17"/>
      <c r="M11" s="19" t="str">
        <v>8范凯</v>
      </c>
      <c r="N11" s="17"/>
      <c r="O11" s="19" t="str">
        <v>29汤琴英</v>
      </c>
      <c r="P11" s="17"/>
      <c r="Q11" s="23" t="str">
        <v/>
      </c>
      <c r="S11" s="29"/>
      <c r="T11" s="30">
        <v>9</v>
      </c>
      <c r="U11" s="30">
        <v>43</v>
      </c>
      <c r="V11" s="30">
        <v>39</v>
      </c>
      <c r="W11" s="30">
        <v>44</v>
      </c>
      <c r="X11" s="30">
        <v>10</v>
      </c>
      <c r="Y11" s="30">
        <v>8</v>
      </c>
      <c r="Z11" s="30">
        <v>29</v>
      </c>
      <c r="AA11" s="44"/>
    </row>
    <row r="12" ht="20" customHeight="1" spans="1:27">
      <c r="A12" s="20"/>
      <c r="B12" s="21"/>
      <c r="C12" s="22" t="str">
        <f>_xlfn.IFNA(S12&amp;VLOOKUP(S12,数据填写!$A:$B,2,0),"")</f>
        <v/>
      </c>
      <c r="D12" s="22"/>
      <c r="E12" s="22" t="str">
        <f>_xlfn.IFNA(T12&amp;VLOOKUP(T12,数据填写!$A:$B,2,0),"")</f>
        <v/>
      </c>
      <c r="F12" s="22" t="s">
        <v>6</v>
      </c>
      <c r="G12" s="22"/>
      <c r="H12" s="22"/>
      <c r="I12" s="22"/>
      <c r="J12" s="22"/>
      <c r="K12" s="22"/>
      <c r="L12" s="22"/>
      <c r="M12" s="22" t="str">
        <f>_xlfn.IFNA(Z12&amp;VLOOKUP(Z12,数据填写!$A:$B,2,0),"")</f>
        <v/>
      </c>
      <c r="N12" s="22"/>
      <c r="O12" s="22" t="str">
        <f>_xlfn.IFNA(Z13&amp;VLOOKUP(Z13,数据填写!$A:$B,2,0),"")</f>
        <v/>
      </c>
      <c r="P12" s="22"/>
      <c r="Q12" s="31"/>
      <c r="S12" s="32"/>
      <c r="T12" s="33"/>
      <c r="U12" s="38" t="s">
        <v>6</v>
      </c>
      <c r="V12" s="38"/>
      <c r="W12" s="38" t="s">
        <v>7</v>
      </c>
      <c r="X12" s="38" t="s">
        <v>6</v>
      </c>
      <c r="Y12" s="38"/>
      <c r="Z12" s="45"/>
      <c r="AA12" s="46"/>
    </row>
    <row r="13" ht="20" customHeight="1"/>
    <row r="14" ht="102" customHeight="1" spans="19:24">
      <c r="S14" s="34" t="s">
        <v>8</v>
      </c>
      <c r="T14" s="35" t="str">
        <f>IF(AND(COUNTIF(数据填写!G:G,1)+COUNTA(数据填写!C:C)-1=数据填写!I1,VLOOKUP("是",数据填写!C:G,5)=0),"无误","有误")</f>
        <v>无误</v>
      </c>
      <c r="U14" s="34" t="s">
        <v>9</v>
      </c>
      <c r="V14" s="39"/>
      <c r="W14" s="34" t="s">
        <v>10</v>
      </c>
      <c r="X14" s="39"/>
    </row>
    <row r="15" ht="102" customHeight="1" spans="19:24">
      <c r="S15" s="34" t="s">
        <v>11</v>
      </c>
      <c r="T15" s="36"/>
      <c r="U15" s="40"/>
      <c r="V15" s="39"/>
      <c r="W15" s="34" t="s">
        <v>12</v>
      </c>
      <c r="X15" s="39" t="s">
        <v>13</v>
      </c>
    </row>
  </sheetData>
  <mergeCells count="13">
    <mergeCell ref="A1:Q1"/>
    <mergeCell ref="A2:Q2"/>
    <mergeCell ref="F12:L12"/>
    <mergeCell ref="U12:V12"/>
    <mergeCell ref="X12:Y12"/>
    <mergeCell ref="B3:B11"/>
    <mergeCell ref="D3:D11"/>
    <mergeCell ref="F3:F11"/>
    <mergeCell ref="H3:H11"/>
    <mergeCell ref="J3:J11"/>
    <mergeCell ref="L3:L11"/>
    <mergeCell ref="N3:N11"/>
    <mergeCell ref="P3:P11"/>
  </mergeCells>
  <conditionalFormatting sqref="T14">
    <cfRule type="cellIs" dxfId="0" priority="1" operator="equal">
      <formula>"无误"</formula>
    </cfRule>
    <cfRule type="cellIs" dxfId="1" priority="2" operator="notEqual">
      <formula>"无误"</formula>
    </cfRule>
  </conditionalFormatting>
  <pageMargins left="0.75" right="0.75" top="1" bottom="1" header="0.5" footer="0.5"/>
  <pageSetup paperSize="9" fitToHeight="0" orientation="landscape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99"/>
  <sheetViews>
    <sheetView workbookViewId="0">
      <selection activeCell="A1" sqref="A1"/>
    </sheetView>
  </sheetViews>
  <sheetFormatPr defaultColWidth="8.87962962962963" defaultRowHeight="14.4"/>
  <cols>
    <col min="1" max="1" width="8.87962962962963" style="6"/>
    <col min="2" max="2" width="8.87962962962963" style="7"/>
    <col min="3" max="3" width="8.87962962962963" style="8"/>
    <col min="4" max="4" width="8.44444444444444" style="8" customWidth="1"/>
    <col min="5" max="5" width="8.44444444444444" style="7" customWidth="1"/>
    <col min="6" max="6" width="8.87962962962963" style="7"/>
    <col min="7" max="7" width="8.87962962962963" style="9"/>
    <col min="8" max="16384" width="8.87962962962963" style="7"/>
  </cols>
  <sheetData>
    <row r="1" ht="15.9" spans="1:9">
      <c r="A1" s="10" t="s">
        <v>14</v>
      </c>
      <c r="B1" s="11" t="s">
        <v>15</v>
      </c>
      <c r="C1" s="12" t="s">
        <v>16</v>
      </c>
      <c r="D1" s="12" t="s">
        <v>17</v>
      </c>
      <c r="E1" s="11" t="s">
        <v>18</v>
      </c>
      <c r="F1" s="11" t="s">
        <v>19</v>
      </c>
      <c r="G1" s="13" t="s">
        <v>20</v>
      </c>
      <c r="H1" s="14" t="s">
        <v>21</v>
      </c>
      <c r="I1" s="15">
        <f>COUNT(A:A)</f>
        <v>44</v>
      </c>
    </row>
    <row r="2" ht="15.9" spans="1:9">
      <c r="A2" s="10">
        <v>1</v>
      </c>
      <c r="B2" s="11" t="s">
        <v>22</v>
      </c>
      <c r="C2" s="12"/>
      <c r="D2" s="12"/>
      <c r="E2" s="11">
        <v>11</v>
      </c>
      <c r="F2" s="11">
        <v>7.125</v>
      </c>
      <c r="G2" s="13" cm="1">
        <f t="array" ref="G2:G99">COUNTIF(座位调整!$S$2:$AA$12,A2:A99)</f>
        <v>1</v>
      </c>
      <c r="H2" s="14" t="s">
        <v>23</v>
      </c>
      <c r="I2" s="15">
        <v>7</v>
      </c>
    </row>
    <row r="3" ht="15.9" spans="1:9">
      <c r="A3" s="10">
        <v>2</v>
      </c>
      <c r="B3" s="11" t="s">
        <v>24</v>
      </c>
      <c r="C3" s="12"/>
      <c r="D3" s="12"/>
      <c r="E3" s="11">
        <v>23</v>
      </c>
      <c r="F3" s="11">
        <v>6.25</v>
      </c>
      <c r="G3" s="13">
        <v>1</v>
      </c>
      <c r="H3" s="14" t="s">
        <v>25</v>
      </c>
      <c r="I3" s="15">
        <f>CEILING(I1/I2,1)</f>
        <v>7</v>
      </c>
    </row>
    <row r="4" ht="15.15" spans="1:7">
      <c r="A4" s="10">
        <v>3</v>
      </c>
      <c r="B4" s="11" t="s">
        <v>26</v>
      </c>
      <c r="C4" s="12"/>
      <c r="D4" s="12"/>
      <c r="E4" s="11">
        <v>23</v>
      </c>
      <c r="F4" s="11">
        <v>6.25</v>
      </c>
      <c r="G4" s="13">
        <v>1</v>
      </c>
    </row>
    <row r="5" spans="1:7">
      <c r="A5" s="10">
        <v>4</v>
      </c>
      <c r="B5" s="11" t="s">
        <v>27</v>
      </c>
      <c r="C5" s="12"/>
      <c r="D5" s="12" t="s">
        <v>28</v>
      </c>
      <c r="E5" s="11">
        <v>42</v>
      </c>
      <c r="F5" s="11">
        <v>0</v>
      </c>
      <c r="G5" s="13">
        <v>1</v>
      </c>
    </row>
    <row r="6" spans="1:7">
      <c r="A6" s="10">
        <v>5</v>
      </c>
      <c r="B6" s="11" t="s">
        <v>29</v>
      </c>
      <c r="C6" s="12"/>
      <c r="D6" s="12"/>
      <c r="E6" s="11">
        <v>29</v>
      </c>
      <c r="F6" s="11">
        <v>5.875</v>
      </c>
      <c r="G6" s="13">
        <v>1</v>
      </c>
    </row>
    <row r="7" spans="1:7">
      <c r="A7" s="10">
        <v>6</v>
      </c>
      <c r="B7" s="11" t="s">
        <v>30</v>
      </c>
      <c r="C7" s="12"/>
      <c r="D7" s="12"/>
      <c r="E7" s="11">
        <v>38</v>
      </c>
      <c r="F7" s="11">
        <v>4</v>
      </c>
      <c r="G7" s="13">
        <v>1</v>
      </c>
    </row>
    <row r="8" spans="1:7">
      <c r="A8" s="10">
        <v>7</v>
      </c>
      <c r="B8" s="11" t="s">
        <v>31</v>
      </c>
      <c r="C8" s="12"/>
      <c r="D8" s="12"/>
      <c r="E8" s="11">
        <v>21</v>
      </c>
      <c r="F8" s="11">
        <v>6.5</v>
      </c>
      <c r="G8" s="13">
        <v>1</v>
      </c>
    </row>
    <row r="9" spans="1:7">
      <c r="A9" s="10">
        <v>8</v>
      </c>
      <c r="B9" s="11" t="s">
        <v>32</v>
      </c>
      <c r="C9" s="12"/>
      <c r="D9" s="12"/>
      <c r="E9" s="11">
        <v>7</v>
      </c>
      <c r="F9" s="11">
        <v>7.5</v>
      </c>
      <c r="G9" s="13">
        <v>1</v>
      </c>
    </row>
    <row r="10" spans="1:7">
      <c r="A10" s="10">
        <v>9</v>
      </c>
      <c r="B10" s="11" t="s">
        <v>33</v>
      </c>
      <c r="C10" s="12"/>
      <c r="D10" s="12"/>
      <c r="E10" s="11">
        <v>1</v>
      </c>
      <c r="F10" s="11">
        <v>7.875</v>
      </c>
      <c r="G10" s="13">
        <v>1</v>
      </c>
    </row>
    <row r="11" spans="1:7">
      <c r="A11" s="10">
        <v>10</v>
      </c>
      <c r="B11" s="11" t="s">
        <v>34</v>
      </c>
      <c r="C11" s="12"/>
      <c r="D11" s="12"/>
      <c r="E11" s="11">
        <v>4</v>
      </c>
      <c r="F11" s="11">
        <v>7.625</v>
      </c>
      <c r="G11" s="13">
        <v>1</v>
      </c>
    </row>
    <row r="12" spans="1:7">
      <c r="A12" s="10">
        <v>11</v>
      </c>
      <c r="B12" s="11" t="s">
        <v>35</v>
      </c>
      <c r="C12" s="12"/>
      <c r="D12" s="12"/>
      <c r="E12" s="11">
        <v>39</v>
      </c>
      <c r="F12" s="11">
        <v>3.5</v>
      </c>
      <c r="G12" s="13">
        <v>1</v>
      </c>
    </row>
    <row r="13" spans="1:7">
      <c r="A13" s="10">
        <v>12</v>
      </c>
      <c r="B13" s="11" t="s">
        <v>36</v>
      </c>
      <c r="C13" s="12"/>
      <c r="D13" s="12"/>
      <c r="E13" s="11">
        <v>15</v>
      </c>
      <c r="F13" s="11">
        <v>6.75</v>
      </c>
      <c r="G13" s="13">
        <v>1</v>
      </c>
    </row>
    <row r="14" spans="1:7">
      <c r="A14" s="10">
        <v>13</v>
      </c>
      <c r="B14" s="11" t="s">
        <v>37</v>
      </c>
      <c r="C14" s="12"/>
      <c r="D14" s="12"/>
      <c r="E14" s="11">
        <v>26</v>
      </c>
      <c r="F14" s="11">
        <v>6.125</v>
      </c>
      <c r="G14" s="13">
        <v>1</v>
      </c>
    </row>
    <row r="15" spans="1:7">
      <c r="A15" s="10">
        <v>14</v>
      </c>
      <c r="B15" s="11" t="s">
        <v>38</v>
      </c>
      <c r="C15" s="12"/>
      <c r="D15" s="12"/>
      <c r="E15" s="11">
        <v>18</v>
      </c>
      <c r="F15" s="11">
        <v>6.625</v>
      </c>
      <c r="G15" s="13">
        <v>1</v>
      </c>
    </row>
    <row r="16" spans="1:7">
      <c r="A16" s="10">
        <v>15</v>
      </c>
      <c r="B16" s="11" t="s">
        <v>39</v>
      </c>
      <c r="C16" s="12"/>
      <c r="D16" s="12"/>
      <c r="E16" s="11">
        <v>41</v>
      </c>
      <c r="F16" s="11">
        <v>3.25</v>
      </c>
      <c r="G16" s="13">
        <v>1</v>
      </c>
    </row>
    <row r="17" spans="1:7">
      <c r="A17" s="10">
        <v>16</v>
      </c>
      <c r="B17" s="11" t="s">
        <v>40</v>
      </c>
      <c r="C17" s="12"/>
      <c r="D17" s="12"/>
      <c r="E17" s="11">
        <v>40</v>
      </c>
      <c r="F17" s="11">
        <v>3.375</v>
      </c>
      <c r="G17" s="13">
        <v>1</v>
      </c>
    </row>
    <row r="18" spans="1:7">
      <c r="A18" s="10">
        <v>17</v>
      </c>
      <c r="B18" s="11" t="s">
        <v>41</v>
      </c>
      <c r="C18" s="12"/>
      <c r="D18" s="12"/>
      <c r="E18" s="11">
        <v>7</v>
      </c>
      <c r="F18" s="11">
        <v>7.5</v>
      </c>
      <c r="G18" s="13">
        <v>1</v>
      </c>
    </row>
    <row r="19" spans="1:7">
      <c r="A19" s="10">
        <v>18</v>
      </c>
      <c r="B19" s="11" t="s">
        <v>42</v>
      </c>
      <c r="C19" s="12"/>
      <c r="D19" s="12"/>
      <c r="E19" s="11">
        <v>18</v>
      </c>
      <c r="F19" s="11">
        <v>6.625</v>
      </c>
      <c r="G19" s="13">
        <v>1</v>
      </c>
    </row>
    <row r="20" spans="1:7">
      <c r="A20" s="10">
        <v>19</v>
      </c>
      <c r="B20" s="11" t="s">
        <v>43</v>
      </c>
      <c r="C20" s="12"/>
      <c r="D20" s="12"/>
      <c r="E20" s="11">
        <v>35</v>
      </c>
      <c r="F20" s="11">
        <v>5.125</v>
      </c>
      <c r="G20" s="13">
        <v>1</v>
      </c>
    </row>
    <row r="21" spans="1:7">
      <c r="A21" s="10">
        <v>20</v>
      </c>
      <c r="B21" s="11" t="s">
        <v>44</v>
      </c>
      <c r="C21" s="12"/>
      <c r="D21" s="12"/>
      <c r="E21" s="11">
        <v>7</v>
      </c>
      <c r="F21" s="11">
        <v>7.5</v>
      </c>
      <c r="G21" s="13">
        <v>1</v>
      </c>
    </row>
    <row r="22" spans="1:7">
      <c r="A22" s="10">
        <v>21</v>
      </c>
      <c r="B22" s="11" t="s">
        <v>45</v>
      </c>
      <c r="C22" s="12"/>
      <c r="D22" s="12"/>
      <c r="E22" s="11">
        <v>15</v>
      </c>
      <c r="F22" s="11">
        <v>6.75</v>
      </c>
      <c r="G22" s="13">
        <v>1</v>
      </c>
    </row>
    <row r="23" spans="1:7">
      <c r="A23" s="10">
        <v>22</v>
      </c>
      <c r="B23" s="11" t="s">
        <v>46</v>
      </c>
      <c r="C23" s="12"/>
      <c r="D23" s="12"/>
      <c r="E23" s="11">
        <v>35</v>
      </c>
      <c r="F23" s="11">
        <v>5.125</v>
      </c>
      <c r="G23" s="13">
        <v>1</v>
      </c>
    </row>
    <row r="24" spans="1:7">
      <c r="A24" s="10">
        <v>23</v>
      </c>
      <c r="B24" s="11" t="s">
        <v>47</v>
      </c>
      <c r="C24" s="12"/>
      <c r="D24" s="12"/>
      <c r="E24" s="11">
        <v>13</v>
      </c>
      <c r="F24" s="11">
        <v>6.875</v>
      </c>
      <c r="G24" s="13">
        <v>1</v>
      </c>
    </row>
    <row r="25" spans="1:7">
      <c r="A25" s="10">
        <v>24</v>
      </c>
      <c r="B25" s="11" t="s">
        <v>48</v>
      </c>
      <c r="C25" s="12"/>
      <c r="D25" s="12"/>
      <c r="E25" s="11">
        <v>30</v>
      </c>
      <c r="F25" s="11">
        <v>5.75</v>
      </c>
      <c r="G25" s="13">
        <v>1</v>
      </c>
    </row>
    <row r="26" spans="1:7">
      <c r="A26" s="10">
        <v>25</v>
      </c>
      <c r="B26" s="11" t="s">
        <v>49</v>
      </c>
      <c r="C26" s="12" t="s">
        <v>50</v>
      </c>
      <c r="D26" s="12"/>
      <c r="E26" s="11">
        <v>42</v>
      </c>
      <c r="F26" s="11">
        <v>0</v>
      </c>
      <c r="G26" s="13">
        <v>0</v>
      </c>
    </row>
    <row r="27" spans="1:7">
      <c r="A27" s="10">
        <v>26</v>
      </c>
      <c r="B27" s="11" t="s">
        <v>51</v>
      </c>
      <c r="C27" s="12"/>
      <c r="D27" s="12"/>
      <c r="E27" s="11">
        <v>22</v>
      </c>
      <c r="F27" s="11">
        <v>6.375</v>
      </c>
      <c r="G27" s="13">
        <v>1</v>
      </c>
    </row>
    <row r="28" spans="1:7">
      <c r="A28" s="10">
        <v>27</v>
      </c>
      <c r="B28" s="11" t="s">
        <v>52</v>
      </c>
      <c r="C28" s="12"/>
      <c r="D28" s="12"/>
      <c r="E28" s="11">
        <v>32</v>
      </c>
      <c r="F28" s="11">
        <v>5.625</v>
      </c>
      <c r="G28" s="13">
        <v>1</v>
      </c>
    </row>
    <row r="29" spans="1:7">
      <c r="A29" s="10">
        <v>28</v>
      </c>
      <c r="B29" s="11" t="s">
        <v>53</v>
      </c>
      <c r="C29" s="12"/>
      <c r="D29" s="12"/>
      <c r="E29" s="11">
        <v>33</v>
      </c>
      <c r="F29" s="11">
        <v>5.375</v>
      </c>
      <c r="G29" s="13">
        <v>1</v>
      </c>
    </row>
    <row r="30" spans="1:7">
      <c r="A30" s="10">
        <v>29</v>
      </c>
      <c r="B30" s="11" t="s">
        <v>54</v>
      </c>
      <c r="C30" s="12"/>
      <c r="D30" s="12"/>
      <c r="E30" s="11">
        <v>2</v>
      </c>
      <c r="F30" s="11">
        <v>7.75</v>
      </c>
      <c r="G30" s="13">
        <v>1</v>
      </c>
    </row>
    <row r="31" spans="1:7">
      <c r="A31" s="10">
        <v>30</v>
      </c>
      <c r="B31" s="11" t="s">
        <v>55</v>
      </c>
      <c r="C31" s="12"/>
      <c r="D31" s="12"/>
      <c r="E31" s="11">
        <v>26</v>
      </c>
      <c r="F31" s="11">
        <v>6.125</v>
      </c>
      <c r="G31" s="13">
        <v>1</v>
      </c>
    </row>
    <row r="32" spans="1:7">
      <c r="A32" s="10">
        <v>31</v>
      </c>
      <c r="B32" s="11" t="s">
        <v>56</v>
      </c>
      <c r="C32" s="12"/>
      <c r="D32" s="12"/>
      <c r="E32" s="11">
        <v>13</v>
      </c>
      <c r="F32" s="11">
        <v>6.875</v>
      </c>
      <c r="G32" s="13">
        <v>1</v>
      </c>
    </row>
    <row r="33" spans="1:7">
      <c r="A33" s="10">
        <v>32</v>
      </c>
      <c r="B33" s="11" t="s">
        <v>57</v>
      </c>
      <c r="C33" s="12" t="s">
        <v>50</v>
      </c>
      <c r="D33" s="12"/>
      <c r="E33" s="11">
        <v>42</v>
      </c>
      <c r="F33" s="11">
        <v>0</v>
      </c>
      <c r="G33" s="13">
        <v>0</v>
      </c>
    </row>
    <row r="34" spans="1:7">
      <c r="A34" s="10">
        <v>33</v>
      </c>
      <c r="B34" s="11" t="s">
        <v>58</v>
      </c>
      <c r="C34" s="12"/>
      <c r="D34" s="12"/>
      <c r="E34" s="11">
        <v>26</v>
      </c>
      <c r="F34" s="11">
        <v>6.125</v>
      </c>
      <c r="G34" s="13">
        <v>1</v>
      </c>
    </row>
    <row r="35" spans="1:7">
      <c r="A35" s="10">
        <v>34</v>
      </c>
      <c r="B35" s="11" t="s">
        <v>59</v>
      </c>
      <c r="C35" s="12"/>
      <c r="D35" s="12"/>
      <c r="E35" s="11">
        <v>23</v>
      </c>
      <c r="F35" s="11">
        <v>6.25</v>
      </c>
      <c r="G35" s="13">
        <v>1</v>
      </c>
    </row>
    <row r="36" spans="1:7">
      <c r="A36" s="10">
        <v>35</v>
      </c>
      <c r="B36" s="11" t="s">
        <v>60</v>
      </c>
      <c r="C36" s="12"/>
      <c r="D36" s="12"/>
      <c r="E36" s="11">
        <v>18</v>
      </c>
      <c r="F36" s="11">
        <v>6.625</v>
      </c>
      <c r="G36" s="13">
        <v>1</v>
      </c>
    </row>
    <row r="37" spans="1:7">
      <c r="A37" s="10">
        <v>36</v>
      </c>
      <c r="B37" s="11" t="s">
        <v>61</v>
      </c>
      <c r="C37" s="12"/>
      <c r="D37" s="12"/>
      <c r="E37" s="11">
        <v>15</v>
      </c>
      <c r="F37" s="11">
        <v>6.75</v>
      </c>
      <c r="G37" s="13">
        <v>1</v>
      </c>
    </row>
    <row r="38" spans="1:7">
      <c r="A38" s="10">
        <v>37</v>
      </c>
      <c r="B38" s="11" t="s">
        <v>62</v>
      </c>
      <c r="C38" s="12"/>
      <c r="D38" s="12"/>
      <c r="E38" s="11">
        <v>34</v>
      </c>
      <c r="F38" s="11">
        <v>5.25</v>
      </c>
      <c r="G38" s="13">
        <v>1</v>
      </c>
    </row>
    <row r="39" spans="1:7">
      <c r="A39" s="10">
        <v>38</v>
      </c>
      <c r="B39" s="11" t="s">
        <v>63</v>
      </c>
      <c r="C39" s="12"/>
      <c r="D39" s="12"/>
      <c r="E39" s="11">
        <v>30</v>
      </c>
      <c r="F39" s="11">
        <v>5.75</v>
      </c>
      <c r="G39" s="13">
        <v>1</v>
      </c>
    </row>
    <row r="40" spans="1:7">
      <c r="A40" s="10">
        <v>39</v>
      </c>
      <c r="B40" s="11" t="s">
        <v>64</v>
      </c>
      <c r="C40" s="12"/>
      <c r="D40" s="12"/>
      <c r="E40" s="11">
        <v>4</v>
      </c>
      <c r="F40" s="11">
        <v>7.625</v>
      </c>
      <c r="G40" s="13">
        <v>1</v>
      </c>
    </row>
    <row r="41" spans="1:7">
      <c r="A41" s="10">
        <v>40</v>
      </c>
      <c r="B41" s="11" t="s">
        <v>65</v>
      </c>
      <c r="C41" s="12"/>
      <c r="D41" s="12"/>
      <c r="E41" s="11">
        <v>11</v>
      </c>
      <c r="F41" s="11">
        <v>7.125</v>
      </c>
      <c r="G41" s="13">
        <v>1</v>
      </c>
    </row>
    <row r="42" spans="1:7">
      <c r="A42" s="10">
        <v>41</v>
      </c>
      <c r="B42" s="11" t="s">
        <v>66</v>
      </c>
      <c r="C42" s="12"/>
      <c r="D42" s="12"/>
      <c r="E42" s="11">
        <v>10</v>
      </c>
      <c r="F42" s="11">
        <v>7.375</v>
      </c>
      <c r="G42" s="13">
        <v>1</v>
      </c>
    </row>
    <row r="43" spans="1:7">
      <c r="A43" s="10">
        <v>42</v>
      </c>
      <c r="B43" s="11" t="s">
        <v>67</v>
      </c>
      <c r="C43" s="12"/>
      <c r="D43" s="12"/>
      <c r="E43" s="11">
        <v>37</v>
      </c>
      <c r="F43" s="11">
        <v>5</v>
      </c>
      <c r="G43" s="13">
        <v>1</v>
      </c>
    </row>
    <row r="44" spans="1:7">
      <c r="A44" s="10">
        <v>43</v>
      </c>
      <c r="B44" s="11" t="s">
        <v>68</v>
      </c>
      <c r="C44" s="12"/>
      <c r="D44" s="12"/>
      <c r="E44" s="11">
        <v>4</v>
      </c>
      <c r="F44" s="11">
        <v>7.625</v>
      </c>
      <c r="G44" s="13">
        <v>1</v>
      </c>
    </row>
    <row r="45" spans="1:7">
      <c r="A45" s="10">
        <v>44</v>
      </c>
      <c r="B45" s="11" t="s">
        <v>69</v>
      </c>
      <c r="C45" s="12"/>
      <c r="D45" s="12"/>
      <c r="E45" s="11">
        <v>2</v>
      </c>
      <c r="F45" s="11">
        <v>7.75</v>
      </c>
      <c r="G45" s="13">
        <v>1</v>
      </c>
    </row>
    <row r="46" spans="7:7">
      <c r="G46" s="9">
        <v>0</v>
      </c>
    </row>
    <row r="47" spans="7:7">
      <c r="G47" s="9">
        <v>0</v>
      </c>
    </row>
    <row r="48" spans="7:7">
      <c r="G48" s="9">
        <v>0</v>
      </c>
    </row>
    <row r="49" spans="7:7">
      <c r="G49" s="9">
        <v>0</v>
      </c>
    </row>
    <row r="50" spans="7:7">
      <c r="G50" s="9">
        <v>0</v>
      </c>
    </row>
    <row r="51" spans="7:7">
      <c r="G51" s="9">
        <v>0</v>
      </c>
    </row>
    <row r="52" spans="7:7">
      <c r="G52" s="9">
        <v>0</v>
      </c>
    </row>
    <row r="53" spans="7:7">
      <c r="G53" s="9">
        <v>0</v>
      </c>
    </row>
    <row r="54" spans="7:7">
      <c r="G54" s="9">
        <v>0</v>
      </c>
    </row>
    <row r="55" spans="7:7">
      <c r="G55" s="9">
        <v>0</v>
      </c>
    </row>
    <row r="56" spans="7:7">
      <c r="G56" s="9">
        <v>0</v>
      </c>
    </row>
    <row r="57" spans="7:7">
      <c r="G57" s="9">
        <v>0</v>
      </c>
    </row>
    <row r="58" spans="7:7">
      <c r="G58" s="9">
        <v>0</v>
      </c>
    </row>
    <row r="59" spans="7:7">
      <c r="G59" s="9">
        <v>0</v>
      </c>
    </row>
    <row r="60" spans="7:7">
      <c r="G60" s="9">
        <v>0</v>
      </c>
    </row>
    <row r="61" spans="7:7">
      <c r="G61" s="9">
        <v>0</v>
      </c>
    </row>
    <row r="62" spans="7:7">
      <c r="G62" s="9">
        <v>0</v>
      </c>
    </row>
    <row r="63" spans="7:7">
      <c r="G63" s="9">
        <v>0</v>
      </c>
    </row>
    <row r="64" spans="7:7">
      <c r="G64" s="9">
        <v>0</v>
      </c>
    </row>
    <row r="65" spans="7:7">
      <c r="G65" s="9">
        <v>0</v>
      </c>
    </row>
    <row r="66" spans="7:7">
      <c r="G66" s="9">
        <v>0</v>
      </c>
    </row>
    <row r="67" spans="7:7">
      <c r="G67" s="9">
        <v>0</v>
      </c>
    </row>
    <row r="68" spans="7:7">
      <c r="G68" s="9">
        <v>0</v>
      </c>
    </row>
    <row r="69" spans="7:7">
      <c r="G69" s="9">
        <v>0</v>
      </c>
    </row>
    <row r="70" spans="7:7">
      <c r="G70" s="9">
        <v>0</v>
      </c>
    </row>
    <row r="71" spans="7:7">
      <c r="G71" s="9">
        <v>0</v>
      </c>
    </row>
    <row r="72" spans="7:7">
      <c r="G72" s="9">
        <v>0</v>
      </c>
    </row>
    <row r="73" spans="7:7">
      <c r="G73" s="9">
        <v>0</v>
      </c>
    </row>
    <row r="74" spans="7:7">
      <c r="G74" s="9">
        <v>0</v>
      </c>
    </row>
    <row r="75" spans="7:7">
      <c r="G75" s="9">
        <v>0</v>
      </c>
    </row>
    <row r="76" spans="7:7">
      <c r="G76" s="9">
        <v>0</v>
      </c>
    </row>
    <row r="77" spans="7:7">
      <c r="G77" s="9">
        <v>0</v>
      </c>
    </row>
    <row r="78" spans="7:7">
      <c r="G78" s="9">
        <v>0</v>
      </c>
    </row>
    <row r="79" spans="7:7">
      <c r="G79" s="9">
        <v>0</v>
      </c>
    </row>
    <row r="80" spans="7:7">
      <c r="G80" s="9">
        <v>0</v>
      </c>
    </row>
    <row r="81" spans="7:7">
      <c r="G81" s="9">
        <v>0</v>
      </c>
    </row>
    <row r="82" spans="7:7">
      <c r="G82" s="9">
        <v>0</v>
      </c>
    </row>
    <row r="83" spans="7:7">
      <c r="G83" s="9">
        <v>0</v>
      </c>
    </row>
    <row r="84" spans="7:7">
      <c r="G84" s="9">
        <v>0</v>
      </c>
    </row>
    <row r="85" spans="7:7">
      <c r="G85" s="9">
        <v>0</v>
      </c>
    </row>
    <row r="86" spans="7:7">
      <c r="G86" s="9">
        <v>0</v>
      </c>
    </row>
    <row r="87" spans="7:7">
      <c r="G87" s="9">
        <v>0</v>
      </c>
    </row>
    <row r="88" spans="7:7">
      <c r="G88" s="9">
        <v>0</v>
      </c>
    </row>
    <row r="89" spans="7:7">
      <c r="G89" s="9">
        <v>0</v>
      </c>
    </row>
    <row r="90" spans="7:7">
      <c r="G90" s="9">
        <v>0</v>
      </c>
    </row>
    <row r="91" spans="7:7">
      <c r="G91" s="9">
        <v>0</v>
      </c>
    </row>
    <row r="92" spans="7:7">
      <c r="G92" s="9">
        <v>0</v>
      </c>
    </row>
    <row r="93" spans="7:7">
      <c r="G93" s="9">
        <v>0</v>
      </c>
    </row>
    <row r="94" spans="7:7">
      <c r="G94" s="9">
        <v>0</v>
      </c>
    </row>
    <row r="95" spans="7:7">
      <c r="G95" s="9">
        <v>0</v>
      </c>
    </row>
    <row r="96" spans="7:7">
      <c r="G96" s="9">
        <v>0</v>
      </c>
    </row>
    <row r="97" spans="7:7">
      <c r="G97" s="9">
        <v>0</v>
      </c>
    </row>
    <row r="98" spans="7:7">
      <c r="G98" s="9">
        <v>0</v>
      </c>
    </row>
    <row r="99" spans="7:7">
      <c r="G99" s="9">
        <v>0</v>
      </c>
    </row>
  </sheetData>
  <sortState ref="B2:B45">
    <sortCondition ref="B2"/>
  </sortState>
  <conditionalFormatting sqref="G1">
    <cfRule type="containsText" dxfId="2" priority="1" operator="between" text="出现次数">
      <formula>NOT(ISERROR(SEARCH("出现次数",G1)))</formula>
    </cfRule>
  </conditionalFormatting>
  <conditionalFormatting sqref="G$1:G$1048576">
    <cfRule type="cellIs" dxfId="3" priority="2" operator="greaterThan">
      <formula>1</formula>
    </cfRule>
    <cfRule type="cellIs" dxfId="0" priority="4" operator="equal">
      <formula>1</formula>
    </cfRule>
    <cfRule type="cellIs" dxfId="1" priority="3" operator="lessThan">
      <formula>1</formula>
    </cfRule>
  </conditionalFormatting>
  <dataValidations count="2">
    <dataValidation type="textLength" operator="lessThanOrEqual" allowBlank="1" showInputMessage="1" showErrorMessage="1" sqref="C2:C1048576">
      <formula1>1</formula1>
    </dataValidation>
    <dataValidation type="textLength" operator="lessThanOrEqual" allowBlank="1" showInputMessage="1" showErrorMessage="1" sqref="D$1:D$1048576">
      <formula1>4</formula1>
    </dataValidation>
  </dataValidation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O11"/>
  <sheetViews>
    <sheetView zoomScale="400" zoomScaleNormal="400" topLeftCell="A3" workbookViewId="0">
      <selection activeCell="H3" sqref="H3"/>
    </sheetView>
  </sheetViews>
  <sheetFormatPr defaultColWidth="3.58333333333333" defaultRowHeight="14.4"/>
  <cols>
    <col min="1" max="16384" width="3.58333333333333" style="1" customWidth="1"/>
  </cols>
  <sheetData>
    <row r="1" spans="1:15">
      <c r="A1" s="2" t="str" cm="1">
        <f t="array" ref="A1:I10">IF(座位调整!S2:AA11=0,"",座位调整!S2:AA11)</f>
        <v/>
      </c>
      <c r="B1" s="2" t="str">
        <v/>
      </c>
      <c r="C1" s="2" t="str">
        <v/>
      </c>
      <c r="D1" s="2" t="str">
        <v/>
      </c>
      <c r="E1" s="2" t="str">
        <v/>
      </c>
      <c r="F1" s="2" t="str">
        <v/>
      </c>
      <c r="G1" s="2" t="str">
        <v/>
      </c>
      <c r="H1" s="2" t="str">
        <v/>
      </c>
      <c r="I1" s="2" t="str">
        <v/>
      </c>
      <c r="J1" s="4"/>
      <c r="K1" s="4"/>
      <c r="L1" s="4"/>
      <c r="M1" s="4"/>
      <c r="N1" s="4"/>
      <c r="O1" s="5"/>
    </row>
    <row r="2" spans="1:15">
      <c r="A2" s="2" t="str">
        <v/>
      </c>
      <c r="B2" s="2" t="str">
        <v/>
      </c>
      <c r="C2" s="2" t="str">
        <v/>
      </c>
      <c r="D2" s="2" t="str">
        <v/>
      </c>
      <c r="E2" s="2" t="str">
        <v/>
      </c>
      <c r="F2" s="2" t="str">
        <v/>
      </c>
      <c r="G2" s="2" t="str">
        <v/>
      </c>
      <c r="H2" s="2" t="str">
        <v/>
      </c>
      <c r="I2" s="2" t="str">
        <v/>
      </c>
      <c r="J2" s="4"/>
      <c r="K2" s="4"/>
      <c r="L2" s="4"/>
      <c r="M2" s="4"/>
      <c r="N2" s="4"/>
      <c r="O2" s="5"/>
    </row>
    <row r="3" spans="1:15">
      <c r="A3" s="2" t="str">
        <v/>
      </c>
      <c r="B3" s="2" t="str">
        <v/>
      </c>
      <c r="C3" s="2" t="str">
        <v/>
      </c>
      <c r="D3" s="2" t="str">
        <v/>
      </c>
      <c r="E3" s="2" t="str">
        <v/>
      </c>
      <c r="F3" s="2" t="str">
        <v/>
      </c>
      <c r="G3" s="2" t="str">
        <v/>
      </c>
      <c r="H3" s="2" t="str">
        <v/>
      </c>
      <c r="I3" s="2" t="str">
        <v/>
      </c>
      <c r="J3" s="4"/>
      <c r="K3" s="4"/>
      <c r="L3" s="4"/>
      <c r="M3" s="4"/>
      <c r="N3" s="4"/>
      <c r="O3" s="5"/>
    </row>
    <row r="4" spans="1:15">
      <c r="A4" s="2" t="str">
        <v/>
      </c>
      <c r="B4" s="2" t="str">
        <v/>
      </c>
      <c r="C4" s="2" t="str">
        <v/>
      </c>
      <c r="D4" s="2" t="str">
        <v/>
      </c>
      <c r="E4" s="2" t="str">
        <v/>
      </c>
      <c r="F4" s="2" t="str">
        <v/>
      </c>
      <c r="G4" s="2" t="str">
        <v/>
      </c>
      <c r="H4" s="2" t="str">
        <v/>
      </c>
      <c r="I4" s="2" t="str">
        <v/>
      </c>
      <c r="J4" s="4"/>
      <c r="K4" s="4"/>
      <c r="L4" s="4"/>
      <c r="M4" s="4"/>
      <c r="N4" s="4"/>
      <c r="O4" s="5"/>
    </row>
    <row r="5" spans="1:15">
      <c r="A5" s="2" t="str">
        <v/>
      </c>
      <c r="B5" s="2">
        <v>4</v>
      </c>
      <c r="C5" s="2">
        <v>11</v>
      </c>
      <c r="D5" s="2">
        <v>22</v>
      </c>
      <c r="E5" s="2">
        <v>42</v>
      </c>
      <c r="F5" s="2">
        <v>16</v>
      </c>
      <c r="G5" s="2">
        <v>15</v>
      </c>
      <c r="H5" s="2">
        <v>6</v>
      </c>
      <c r="I5" s="2" t="str">
        <v/>
      </c>
      <c r="J5" s="4"/>
      <c r="K5" s="4"/>
      <c r="L5" s="4"/>
      <c r="M5" s="4"/>
      <c r="N5" s="4"/>
      <c r="O5" s="5"/>
    </row>
    <row r="6" spans="1:15">
      <c r="A6" s="2" t="str">
        <v/>
      </c>
      <c r="B6" s="2">
        <v>37</v>
      </c>
      <c r="C6" s="2">
        <v>38</v>
      </c>
      <c r="D6" s="2">
        <v>28</v>
      </c>
      <c r="E6" s="2">
        <v>27</v>
      </c>
      <c r="F6" s="2">
        <v>19</v>
      </c>
      <c r="G6" s="2">
        <v>5</v>
      </c>
      <c r="H6" s="2">
        <v>24</v>
      </c>
      <c r="I6" s="2" t="str">
        <v/>
      </c>
      <c r="J6" s="4"/>
      <c r="K6" s="4"/>
      <c r="L6" s="4"/>
      <c r="M6" s="4"/>
      <c r="N6" s="4"/>
      <c r="O6" s="5"/>
    </row>
    <row r="7" spans="1:15">
      <c r="A7" s="2" t="str">
        <v/>
      </c>
      <c r="B7" s="2">
        <v>2</v>
      </c>
      <c r="C7" s="2">
        <v>30</v>
      </c>
      <c r="D7" s="2">
        <v>26</v>
      </c>
      <c r="E7" s="2">
        <v>3</v>
      </c>
      <c r="F7" s="2">
        <v>13</v>
      </c>
      <c r="G7" s="2">
        <v>34</v>
      </c>
      <c r="H7" s="2">
        <v>33</v>
      </c>
      <c r="I7" s="2" t="str">
        <v/>
      </c>
      <c r="J7" s="4"/>
      <c r="K7" s="4"/>
      <c r="L7" s="4"/>
      <c r="M7" s="4"/>
      <c r="N7" s="4"/>
      <c r="O7" s="5"/>
    </row>
    <row r="8" spans="1:15">
      <c r="A8" s="2" t="str">
        <v/>
      </c>
      <c r="B8" s="2">
        <v>35</v>
      </c>
      <c r="C8" s="2">
        <v>12</v>
      </c>
      <c r="D8" s="2">
        <v>36</v>
      </c>
      <c r="E8" s="2">
        <v>21</v>
      </c>
      <c r="F8" s="2">
        <v>7</v>
      </c>
      <c r="G8" s="2">
        <v>18</v>
      </c>
      <c r="H8" s="2">
        <v>14</v>
      </c>
      <c r="I8" s="2" t="str">
        <v/>
      </c>
      <c r="J8" s="4"/>
      <c r="K8" s="4"/>
      <c r="L8" s="4"/>
      <c r="M8" s="4"/>
      <c r="N8" s="4"/>
      <c r="O8" s="5"/>
    </row>
    <row r="9" spans="1:9">
      <c r="A9" s="2" t="str">
        <v/>
      </c>
      <c r="B9" s="2">
        <v>1</v>
      </c>
      <c r="C9" s="2">
        <v>31</v>
      </c>
      <c r="D9" s="2">
        <v>20</v>
      </c>
      <c r="E9" s="2">
        <v>23</v>
      </c>
      <c r="F9" s="2">
        <v>40</v>
      </c>
      <c r="G9" s="2">
        <v>17</v>
      </c>
      <c r="H9" s="2">
        <v>41</v>
      </c>
      <c r="I9" s="2" t="str">
        <v/>
      </c>
    </row>
    <row r="10" spans="1:9">
      <c r="A10" s="2" t="str">
        <v/>
      </c>
      <c r="B10" s="2">
        <v>9</v>
      </c>
      <c r="C10" s="2">
        <v>43</v>
      </c>
      <c r="D10" s="2">
        <v>39</v>
      </c>
      <c r="E10" s="2">
        <v>44</v>
      </c>
      <c r="F10" s="2">
        <v>10</v>
      </c>
      <c r="G10" s="2">
        <v>8</v>
      </c>
      <c r="H10" s="2">
        <v>29</v>
      </c>
      <c r="I10" s="2" t="str">
        <v/>
      </c>
    </row>
    <row r="11" ht="15.6" spans="1:9">
      <c r="A11" s="2"/>
      <c r="B11" s="2" t="str" cm="1">
        <f t="array" ref="B11:C11">IF(座位调整!S12:T12=0,"",座位调整!S12:T12)</f>
        <v/>
      </c>
      <c r="C11" s="2" t="str">
        <v/>
      </c>
      <c r="D11" s="3" t="s">
        <v>6</v>
      </c>
      <c r="E11" s="3"/>
      <c r="F11" s="3"/>
      <c r="G11" s="2" t="str" cm="1">
        <f t="array" ref="G11:H11">IF(座位调整!Z12:AA12=0,"",座位调整!Z12:AA12)</f>
        <v/>
      </c>
      <c r="H11" s="2" t="str">
        <v/>
      </c>
      <c r="I11" s="2"/>
    </row>
  </sheetData>
  <mergeCells count="2">
    <mergeCell ref="J8:N8"/>
    <mergeCell ref="D11:F11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workbookViewId="0">
      <selection activeCell="A1" sqref="A1"/>
    </sheetView>
  </sheetViews>
  <sheetFormatPr defaultColWidth="8.88888888888889" defaultRowHeight="14.4"/>
  <sheetData/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404BB41-C835-426D-B16A-8B16E749863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座位调整</vt:lpstr>
      <vt:lpstr>数据填写</vt:lpstr>
      <vt:lpstr>简洁展示</vt:lpstr>
      <vt:lpstr>变量存储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86156</dc:creator>
  <cp:lastModifiedBy>小虎子</cp:lastModifiedBy>
  <dcterms:created xsi:type="dcterms:W3CDTF">2024-09-01T12:50:00Z</dcterms:created>
  <dcterms:modified xsi:type="dcterms:W3CDTF">2025-10-29T15:35:57Z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98DF0FD1C26C42888A117754FB169403_13</vt:lpwstr>
  </property>
  <property fmtid="{D5CDD505-2E9C-101B-9397-08002B2CF9AE}" pid="3" name="KSOProductBuildVer">
    <vt:lpwstr>2052-12.1.0.23122</vt:lpwstr>
  </property>
  <property fmtid="{D5CDD505-2E9C-101B-9397-08002B2CF9AE}" pid="4" name="KSOReadingLayout">
    <vt:bool>false</vt:bool>
  </property>
</Properties>
</file>